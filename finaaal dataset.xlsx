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chan/Library/Mobile Documents/com~apple~TextEdit/Documents/"/>
    </mc:Choice>
  </mc:AlternateContent>
  <xr:revisionPtr revIDLastSave="0" documentId="13_ncr:1_{84CAB574-B3FF-B847-9F3F-13B6611F341A}" xr6:coauthVersionLast="47" xr6:coauthVersionMax="47" xr10:uidLastSave="{00000000-0000-0000-0000-000000000000}"/>
  <bookViews>
    <workbookView xWindow="14680" yWindow="660" windowWidth="14720" windowHeight="16940" xr2:uid="{290F8FB0-024C-8043-9AB9-721D0894E2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4" i="1" l="1"/>
  <c r="G4" i="1" s="1"/>
  <c r="G3" i="1" s="1"/>
  <c r="G2" i="1" s="1"/>
</calcChain>
</file>

<file path=xl/sharedStrings.xml><?xml version="1.0" encoding="utf-8"?>
<sst xmlns="http://schemas.openxmlformats.org/spreadsheetml/2006/main" count="13" uniqueCount="13">
  <si>
    <t>Year</t>
  </si>
  <si>
    <t>Remittance</t>
  </si>
  <si>
    <t>GDP</t>
  </si>
  <si>
    <t>Net_migration</t>
  </si>
  <si>
    <t>Inflation</t>
  </si>
  <si>
    <t>Exchange_rate</t>
  </si>
  <si>
    <t>FDI</t>
  </si>
  <si>
    <t>Trade openness</t>
  </si>
  <si>
    <t>M2</t>
  </si>
  <si>
    <t>GFCF</t>
  </si>
  <si>
    <t>labour force</t>
  </si>
  <si>
    <t>GDP growth percent</t>
  </si>
  <si>
    <t>oil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</si>
</sst>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000000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  <xf numFmtId="0" fontId="3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5813-794F-3147-B5E5-DC608587D80F}">
  <dimension ref="A1:M35"/>
  <sheetViews>
    <sheetView tabSelected="1" topLeftCell="I1" workbookViewId="0">
      <selection activeCell="M1" sqref="B1:M1"/>
    </sheetView>
  </sheetViews>
  <sheetFormatPr baseColWidth="10" defaultRowHeight="16" x14ac:dyDescent="0.2"/>
  <cols>
    <col min="3" max="3" width="17.83203125" customWidth="1"/>
    <col min="4" max="4" width="13" customWidth="1"/>
    <col min="6" max="6" width="16.33203125" customWidth="1"/>
    <col min="7" max="7" width="11.83203125" bestFit="1" customWidth="1"/>
    <col min="8" max="8" width="14.33203125" customWidth="1"/>
    <col min="11" max="11" width="18.33203125" customWidth="1"/>
    <col min="12" max="12" width="19" customWidth="1"/>
    <col min="13" max="13" width="17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>
        <v>1993</v>
      </c>
      <c r="B2" s="2">
        <v>54825103.759999998</v>
      </c>
      <c r="C2" s="2">
        <v>3660041666.6666698</v>
      </c>
      <c r="D2" s="2">
        <v>-37782</v>
      </c>
      <c r="E2" s="2">
        <v>7.5053939999999999</v>
      </c>
      <c r="F2" s="2">
        <v>62.75</v>
      </c>
      <c r="G2">
        <f>AVERAGE(G3:G34)</f>
        <v>-56067775.213108093</v>
      </c>
      <c r="H2">
        <v>47.189581175077699</v>
      </c>
      <c r="I2">
        <v>25.018841180591441</v>
      </c>
      <c r="J2">
        <v>776625000</v>
      </c>
      <c r="K2">
        <v>5163407</v>
      </c>
      <c r="L2">
        <v>3.8498500262957265</v>
      </c>
      <c r="M2" s="5">
        <v>18.4740455408119</v>
      </c>
    </row>
    <row r="3" spans="1:13" x14ac:dyDescent="0.2">
      <c r="A3" s="1">
        <v>1994</v>
      </c>
      <c r="B3" s="2">
        <v>50118518.829999998</v>
      </c>
      <c r="C3" s="2">
        <v>4066775510.2040801</v>
      </c>
      <c r="D3" s="2">
        <v>-27415</v>
      </c>
      <c r="E3" s="2">
        <v>8.3492870000000003</v>
      </c>
      <c r="F3" s="2">
        <v>62.75</v>
      </c>
      <c r="G3">
        <f>AVERAGE(G4:G34)</f>
        <v>-56067775.213108093</v>
      </c>
      <c r="H3">
        <v>50.432072744791036</v>
      </c>
      <c r="I3">
        <v>17.984663037724875</v>
      </c>
      <c r="J3">
        <v>857795918.36734688</v>
      </c>
      <c r="K3">
        <v>5289149</v>
      </c>
      <c r="L3">
        <v>8.2160026929658727</v>
      </c>
      <c r="M3" s="5">
        <v>17.167956608005522</v>
      </c>
    </row>
    <row r="4" spans="1:13" x14ac:dyDescent="0.2">
      <c r="A4" s="1">
        <v>1995</v>
      </c>
      <c r="B4" s="2">
        <v>56822666.937002398</v>
      </c>
      <c r="C4" s="2">
        <v>4401104417.67068</v>
      </c>
      <c r="D4" s="2">
        <v>-86232</v>
      </c>
      <c r="E4" s="2">
        <v>7.6229696000000002</v>
      </c>
      <c r="F4" s="2">
        <v>62.75</v>
      </c>
      <c r="G4">
        <f>AVERAGE(G5:G34)</f>
        <v>-56067775.213108085</v>
      </c>
      <c r="H4">
        <v>59.490518398539983</v>
      </c>
      <c r="I4">
        <v>15.428764488654853</v>
      </c>
      <c r="J4">
        <v>971285140.56224906</v>
      </c>
      <c r="K4">
        <v>5409055</v>
      </c>
      <c r="L4">
        <v>3.4684518930960309</v>
      </c>
      <c r="M4" s="5">
        <v>18.414001474371041</v>
      </c>
    </row>
    <row r="5" spans="1:13" x14ac:dyDescent="0.2">
      <c r="A5" s="1">
        <v>1996</v>
      </c>
      <c r="B5" s="2">
        <v>44160126.0671013</v>
      </c>
      <c r="C5" s="2">
        <v>4521580381.4713898</v>
      </c>
      <c r="D5" s="2">
        <v>-92307</v>
      </c>
      <c r="E5" s="2">
        <v>9.2204669999999993</v>
      </c>
      <c r="F5" s="2">
        <v>62.75</v>
      </c>
      <c r="G5">
        <v>-19160171.093968101</v>
      </c>
      <c r="H5">
        <v>58.457768698300207</v>
      </c>
      <c r="I5">
        <v>12.201936110744576</v>
      </c>
      <c r="J5">
        <v>1018728428.7011808</v>
      </c>
      <c r="K5">
        <v>5520321</v>
      </c>
      <c r="L5">
        <v>5.3282841750870773</v>
      </c>
      <c r="M5" s="5">
        <v>22.151894598155469</v>
      </c>
    </row>
    <row r="6" spans="1:13" x14ac:dyDescent="0.2">
      <c r="A6" s="1">
        <v>1997</v>
      </c>
      <c r="B6" s="2">
        <v>49458057.883063398</v>
      </c>
      <c r="C6" s="2">
        <v>4918691916.5351601</v>
      </c>
      <c r="D6" s="2">
        <v>-98454</v>
      </c>
      <c r="E6" s="2">
        <v>4.009989</v>
      </c>
      <c r="F6" s="2">
        <v>62.75</v>
      </c>
      <c r="G6">
        <v>-23056467.765552029</v>
      </c>
      <c r="H6">
        <v>64.035534894995948</v>
      </c>
      <c r="I6">
        <v>29.543332321090844</v>
      </c>
      <c r="J6">
        <v>1066000350.6926179</v>
      </c>
      <c r="K6">
        <v>5635976</v>
      </c>
      <c r="L6">
        <v>5.0486125451732846</v>
      </c>
      <c r="M6" s="5">
        <v>20.590988393249269</v>
      </c>
    </row>
    <row r="7" spans="1:13" x14ac:dyDescent="0.2">
      <c r="A7" s="1">
        <v>1998</v>
      </c>
      <c r="B7" s="2">
        <v>67504902.915888295</v>
      </c>
      <c r="C7" s="2">
        <v>4856255044.3906403</v>
      </c>
      <c r="D7" s="2">
        <v>-108400</v>
      </c>
      <c r="E7" s="2">
        <v>11.244467999999999</v>
      </c>
      <c r="F7" s="2">
        <v>66.319999999999993</v>
      </c>
      <c r="G7">
        <v>-12024659.898572801</v>
      </c>
      <c r="H7">
        <v>56.709601289700672</v>
      </c>
      <c r="I7">
        <v>11.181374907994051</v>
      </c>
      <c r="J7">
        <v>1055286521.3882163</v>
      </c>
      <c r="K7">
        <v>5755551</v>
      </c>
      <c r="L7">
        <v>3.0163894753939928</v>
      </c>
      <c r="M7" s="5">
        <v>14.367870051446131</v>
      </c>
    </row>
    <row r="8" spans="1:13" x14ac:dyDescent="0.2">
      <c r="A8" s="1">
        <v>1999</v>
      </c>
      <c r="B8" s="2">
        <v>83462780.2911046</v>
      </c>
      <c r="C8" s="2">
        <v>5033642384.1059599</v>
      </c>
      <c r="D8" s="2">
        <v>-122551</v>
      </c>
      <c r="E8" s="2">
        <v>7.4511127000000004</v>
      </c>
      <c r="F8" s="2">
        <v>68.05</v>
      </c>
      <c r="G8">
        <v>-4351068.6821270548</v>
      </c>
      <c r="H8">
        <v>52.566981253435308</v>
      </c>
      <c r="I8">
        <v>21.680363090786962</v>
      </c>
      <c r="J8">
        <v>960544518.02796173</v>
      </c>
      <c r="K8">
        <v>5876855</v>
      </c>
      <c r="L8">
        <v>4.4125732804139943</v>
      </c>
      <c r="M8" s="5">
        <v>19.238575930108539</v>
      </c>
    </row>
    <row r="9" spans="1:13" x14ac:dyDescent="0.2">
      <c r="A9" s="1">
        <v>2000</v>
      </c>
      <c r="B9" s="2">
        <v>111498192.002855</v>
      </c>
      <c r="C9" s="2">
        <v>5494252207.9050198</v>
      </c>
      <c r="D9" s="2">
        <v>-147193</v>
      </c>
      <c r="E9" s="2">
        <v>2.4788203000000002</v>
      </c>
      <c r="F9" s="2">
        <v>71.489999999999995</v>
      </c>
      <c r="G9">
        <v>484826.71227488143</v>
      </c>
      <c r="H9">
        <v>55.710589004131883</v>
      </c>
      <c r="I9">
        <v>18.84551516410901</v>
      </c>
      <c r="J9">
        <v>1061589691.6172</v>
      </c>
      <c r="K9">
        <v>5995668</v>
      </c>
      <c r="L9">
        <v>6.1999999819223603</v>
      </c>
      <c r="M9" s="5">
        <v>30.33758418031243</v>
      </c>
    </row>
    <row r="10" spans="1:13" x14ac:dyDescent="0.2">
      <c r="A10" s="1">
        <v>2001</v>
      </c>
      <c r="B10" s="2">
        <v>146985151.867356</v>
      </c>
      <c r="C10" s="2">
        <v>6007055042.1768703</v>
      </c>
      <c r="D10" s="2">
        <v>-148973</v>
      </c>
      <c r="E10" s="2">
        <v>2.6883037000000001</v>
      </c>
      <c r="F10" s="2">
        <v>75.47</v>
      </c>
      <c r="G10" s="2">
        <f>AVERAGE(G5:G9)</f>
        <v>-11621508.14558902</v>
      </c>
      <c r="H10">
        <v>55.799921080370588</v>
      </c>
      <c r="I10">
        <v>16.775265384068078</v>
      </c>
      <c r="J10">
        <v>1153061224.4897959</v>
      </c>
      <c r="K10">
        <v>6115063</v>
      </c>
      <c r="L10">
        <v>4.7998921425540715</v>
      </c>
      <c r="M10" s="5">
        <v>25.933259512830169</v>
      </c>
    </row>
    <row r="11" spans="1:13" x14ac:dyDescent="0.2">
      <c r="A11" s="1">
        <v>2002</v>
      </c>
      <c r="B11" s="2">
        <v>678485891.97550702</v>
      </c>
      <c r="C11" s="2">
        <v>6050875806.6640301</v>
      </c>
      <c r="D11" s="2">
        <v>-153730</v>
      </c>
      <c r="E11" s="2">
        <v>3.0293994</v>
      </c>
      <c r="F11" s="2">
        <v>78.290000000000006</v>
      </c>
      <c r="G11">
        <v>5952541.1270463169</v>
      </c>
      <c r="H11">
        <v>46.230718500445107</v>
      </c>
      <c r="I11">
        <v>2.6591669801511775</v>
      </c>
      <c r="J11">
        <v>1183840379.2967205</v>
      </c>
      <c r="K11">
        <v>6237676</v>
      </c>
      <c r="L11">
        <v>0.12014317736941393</v>
      </c>
      <c r="M11" s="5">
        <v>26.11281627611519</v>
      </c>
    </row>
    <row r="12" spans="1:13" x14ac:dyDescent="0.2">
      <c r="A12" s="1">
        <v>2003</v>
      </c>
      <c r="B12" s="2">
        <v>771072126.45304501</v>
      </c>
      <c r="C12" s="2">
        <v>6330473096.5407104</v>
      </c>
      <c r="D12" s="2">
        <v>-168314</v>
      </c>
      <c r="E12" s="2">
        <v>5.7070093000000002</v>
      </c>
      <c r="F12" s="2">
        <v>76.260000000000005</v>
      </c>
      <c r="G12">
        <v>-14778085.60651361</v>
      </c>
      <c r="H12">
        <v>44.247883615619493</v>
      </c>
      <c r="I12">
        <v>10.217592897865767</v>
      </c>
      <c r="J12">
        <v>1261294977.3521719</v>
      </c>
      <c r="K12">
        <v>6361849</v>
      </c>
      <c r="L12">
        <v>3.9450377605111555</v>
      </c>
      <c r="M12" s="5">
        <v>31.136690782044049</v>
      </c>
    </row>
    <row r="13" spans="1:13" x14ac:dyDescent="0.2">
      <c r="A13" s="1">
        <v>2004</v>
      </c>
      <c r="B13" s="2">
        <v>822608955.21129501</v>
      </c>
      <c r="C13" s="2">
        <v>7273938314.7198801</v>
      </c>
      <c r="D13" s="2">
        <v>-197336</v>
      </c>
      <c r="E13" s="2">
        <v>2.8418114000000001</v>
      </c>
      <c r="F13" s="2">
        <v>73.930000000000007</v>
      </c>
      <c r="G13">
        <v>417346.3839042958</v>
      </c>
      <c r="H13">
        <v>46.147286720608697</v>
      </c>
      <c r="I13">
        <v>13.085077097159662</v>
      </c>
      <c r="J13">
        <v>1479603798.3106272</v>
      </c>
      <c r="K13">
        <v>6483894</v>
      </c>
      <c r="L13">
        <v>4.6826032515294429</v>
      </c>
      <c r="M13" s="5">
        <v>41.426909090909078</v>
      </c>
    </row>
    <row r="14" spans="1:13" x14ac:dyDescent="0.2">
      <c r="A14" s="1">
        <v>2005</v>
      </c>
      <c r="B14" s="2">
        <v>1211823252.5063701</v>
      </c>
      <c r="C14" s="2">
        <v>8130258377.9096403</v>
      </c>
      <c r="D14" s="2">
        <v>-211024</v>
      </c>
      <c r="E14" s="2">
        <v>6.8363329999999998</v>
      </c>
      <c r="F14" s="2">
        <v>71.72</v>
      </c>
      <c r="G14">
        <v>-2451784.7070998298</v>
      </c>
      <c r="H14">
        <v>44.062947479861286</v>
      </c>
      <c r="I14">
        <v>9.7435865361544014</v>
      </c>
      <c r="J14">
        <v>1621314868.85425</v>
      </c>
      <c r="K14">
        <v>6600031</v>
      </c>
      <c r="L14">
        <v>3.4791810482949614</v>
      </c>
      <c r="M14" s="5">
        <v>56.476645672564153</v>
      </c>
    </row>
    <row r="15" spans="1:13" x14ac:dyDescent="0.2">
      <c r="A15" s="1">
        <v>2006</v>
      </c>
      <c r="B15" s="2">
        <v>1453231426.1946499</v>
      </c>
      <c r="C15" s="2">
        <v>9043715355.8880997</v>
      </c>
      <c r="D15" s="2">
        <v>-241455</v>
      </c>
      <c r="E15" s="2">
        <v>6.9203359999999998</v>
      </c>
      <c r="F15" s="2">
        <v>73.12</v>
      </c>
      <c r="G15">
        <v>6647983.90370767</v>
      </c>
      <c r="H15">
        <v>44.761987756924185</v>
      </c>
      <c r="I15">
        <v>16.985020267835253</v>
      </c>
      <c r="J15">
        <v>1873937949.2759733</v>
      </c>
      <c r="K15">
        <v>6709291</v>
      </c>
      <c r="L15">
        <v>3.3646147805627749</v>
      </c>
      <c r="M15" s="5">
        <v>66.082638849676897</v>
      </c>
    </row>
    <row r="16" spans="1:13" x14ac:dyDescent="0.2">
      <c r="A16" s="1">
        <v>2007</v>
      </c>
      <c r="B16" s="2">
        <v>1733858518.1027</v>
      </c>
      <c r="C16" s="2">
        <v>10325618017.379</v>
      </c>
      <c r="D16" s="2">
        <v>-252526</v>
      </c>
      <c r="E16" s="2">
        <v>2.2692192000000002</v>
      </c>
      <c r="F16" s="2">
        <v>66.69</v>
      </c>
      <c r="G16">
        <v>-5741706.0532087237</v>
      </c>
      <c r="H16">
        <v>44.579275020025364</v>
      </c>
      <c r="I16">
        <v>18.528592715821596</v>
      </c>
      <c r="J16">
        <v>2175378613.2292962</v>
      </c>
      <c r="K16">
        <v>6814461</v>
      </c>
      <c r="L16">
        <v>3.4115602798027567</v>
      </c>
      <c r="M16" s="5">
        <v>72.343298944413064</v>
      </c>
    </row>
    <row r="17" spans="1:13" x14ac:dyDescent="0.2">
      <c r="A17" s="1">
        <v>2008</v>
      </c>
      <c r="B17" s="2">
        <v>2727140487.2779102</v>
      </c>
      <c r="C17" s="2">
        <v>12545438605.395901</v>
      </c>
      <c r="D17" s="2">
        <v>-261540</v>
      </c>
      <c r="E17" s="2">
        <v>9.9078300000000006</v>
      </c>
      <c r="F17" s="2">
        <v>70.010000000000005</v>
      </c>
      <c r="G17">
        <v>-995123.93066950841</v>
      </c>
      <c r="H17">
        <v>46.036206351191304</v>
      </c>
      <c r="I17">
        <v>38.841264640850916</v>
      </c>
      <c r="J17">
        <v>2744634806.9637923</v>
      </c>
      <c r="K17">
        <v>6923924</v>
      </c>
      <c r="L17">
        <v>6.1046391437347154</v>
      </c>
      <c r="M17" s="5">
        <v>99.564914188468506</v>
      </c>
    </row>
    <row r="18" spans="1:13" x14ac:dyDescent="0.2">
      <c r="A18" s="1">
        <v>2009</v>
      </c>
      <c r="B18" s="2">
        <v>2983336877.1560102</v>
      </c>
      <c r="C18" s="2">
        <v>12854985464.076401</v>
      </c>
      <c r="D18" s="2">
        <v>-266144</v>
      </c>
      <c r="E18" s="2">
        <v>11.094823999999999</v>
      </c>
      <c r="F18" s="2">
        <v>77.78</v>
      </c>
      <c r="G18">
        <v>-38271269.974830173</v>
      </c>
      <c r="H18">
        <v>47.07944776336879</v>
      </c>
      <c r="I18">
        <v>29.619835830010853</v>
      </c>
      <c r="J18">
        <v>2745097784.1659241</v>
      </c>
      <c r="K18">
        <v>7038992</v>
      </c>
      <c r="L18">
        <v>4.533078724648604</v>
      </c>
      <c r="M18" s="5">
        <v>61.718092657945917</v>
      </c>
    </row>
    <row r="19" spans="1:13" x14ac:dyDescent="0.2">
      <c r="A19" s="1">
        <v>2010</v>
      </c>
      <c r="B19" s="2">
        <v>3464092681.9205599</v>
      </c>
      <c r="C19" s="2">
        <v>16002656434.4746</v>
      </c>
      <c r="D19" s="2">
        <v>-269963</v>
      </c>
      <c r="E19" s="2">
        <v>9.3265039999999999</v>
      </c>
      <c r="F19" s="2">
        <v>73.459999999999994</v>
      </c>
      <c r="G19">
        <v>-87741711.63059856</v>
      </c>
      <c r="H19">
        <v>45.984905774270736</v>
      </c>
      <c r="I19">
        <v>9.5892226671519172</v>
      </c>
      <c r="J19">
        <v>3553826338.9503059</v>
      </c>
      <c r="K19">
        <v>7158341</v>
      </c>
      <c r="L19">
        <v>4.8164146469457307</v>
      </c>
      <c r="M19" s="5">
        <v>79.428750768555119</v>
      </c>
    </row>
    <row r="20" spans="1:13" x14ac:dyDescent="0.2">
      <c r="A20" s="1">
        <v>2011</v>
      </c>
      <c r="B20" s="2">
        <v>4216894009.6272402</v>
      </c>
      <c r="C20" s="2">
        <v>21573872420.700802</v>
      </c>
      <c r="D20" s="2">
        <v>-347552</v>
      </c>
      <c r="E20" s="2">
        <v>9.2270760000000003</v>
      </c>
      <c r="F20" s="2">
        <v>74.900000000000006</v>
      </c>
      <c r="G20">
        <v>-94022157.116785169</v>
      </c>
      <c r="H20">
        <v>36.296758889936676</v>
      </c>
      <c r="I20">
        <v>18.670188560679573</v>
      </c>
      <c r="J20">
        <v>5173930356.0593519</v>
      </c>
      <c r="K20">
        <v>7256378</v>
      </c>
      <c r="L20">
        <v>3.4218087011616234</v>
      </c>
      <c r="M20" s="5">
        <v>95.063103896103925</v>
      </c>
    </row>
    <row r="21" spans="1:13" x14ac:dyDescent="0.2">
      <c r="A21" s="1">
        <v>2012</v>
      </c>
      <c r="B21" s="2">
        <v>4792506200.0437002</v>
      </c>
      <c r="C21" s="2">
        <v>21703100877.130901</v>
      </c>
      <c r="D21" s="2">
        <v>-371707</v>
      </c>
      <c r="E21" s="2">
        <v>9.4598099999999992</v>
      </c>
      <c r="F21" s="2">
        <v>85.73</v>
      </c>
      <c r="G21">
        <v>-91954196.096452817</v>
      </c>
      <c r="H21">
        <v>37.92190605875804</v>
      </c>
      <c r="I21">
        <v>14.856498252650974</v>
      </c>
      <c r="J21">
        <v>5206662318.671771</v>
      </c>
      <c r="K21">
        <v>7316791</v>
      </c>
      <c r="L21">
        <v>4.670141924469533</v>
      </c>
      <c r="M21" s="5">
        <v>94.180816762343923</v>
      </c>
    </row>
    <row r="22" spans="1:13" x14ac:dyDescent="0.2">
      <c r="A22" s="1">
        <v>2013</v>
      </c>
      <c r="B22" s="2">
        <v>5583702127.8170004</v>
      </c>
      <c r="C22" s="2">
        <v>22162204924.572601</v>
      </c>
      <c r="D22" s="2">
        <v>-373064</v>
      </c>
      <c r="E22" s="2">
        <v>9.0401629999999997</v>
      </c>
      <c r="F22" s="2">
        <v>93.93</v>
      </c>
      <c r="G22">
        <v>-74179632.614795208</v>
      </c>
      <c r="H22">
        <v>41.865375737672181</v>
      </c>
      <c r="I22">
        <v>21.658009779027008</v>
      </c>
      <c r="J22">
        <v>5480764570.4747944</v>
      </c>
      <c r="K22">
        <v>7357452</v>
      </c>
      <c r="L22">
        <v>3.5251531712914925</v>
      </c>
      <c r="M22" s="5">
        <v>97.94982287157292</v>
      </c>
    </row>
    <row r="23" spans="1:13" x14ac:dyDescent="0.2">
      <c r="A23" s="1">
        <v>2014</v>
      </c>
      <c r="B23" s="2">
        <v>5888650154.8292704</v>
      </c>
      <c r="C23" s="2">
        <v>22731612922.190601</v>
      </c>
      <c r="D23" s="2">
        <v>-310156</v>
      </c>
      <c r="E23" s="2">
        <v>8.3641550000000002</v>
      </c>
      <c r="F23" s="2">
        <v>97.92</v>
      </c>
      <c r="G23">
        <v>-30402676.784735031</v>
      </c>
      <c r="H23">
        <v>45.982641611592747</v>
      </c>
      <c r="I23">
        <v>16.140326688032985</v>
      </c>
      <c r="J23">
        <v>5740206146.3609924</v>
      </c>
      <c r="K23">
        <v>7408274</v>
      </c>
      <c r="L23">
        <v>6.0114828425044067</v>
      </c>
      <c r="M23" s="5">
        <v>93.119386528326757</v>
      </c>
    </row>
    <row r="24" spans="1:13" x14ac:dyDescent="0.2">
      <c r="A24" s="1">
        <v>2015</v>
      </c>
      <c r="B24" s="2">
        <v>6729935670.5921497</v>
      </c>
      <c r="C24" s="2">
        <v>24360801286.763802</v>
      </c>
      <c r="D24" s="2">
        <v>-221062</v>
      </c>
      <c r="E24" s="2">
        <v>7.8689090000000004</v>
      </c>
      <c r="F24" s="2">
        <v>102.92</v>
      </c>
      <c r="G24">
        <v>-51895699.928291537</v>
      </c>
      <c r="H24">
        <v>46.665730389515829</v>
      </c>
      <c r="I24">
        <v>24.435061331652815</v>
      </c>
      <c r="J24">
        <v>6712328282.4975023</v>
      </c>
      <c r="K24">
        <v>7493338</v>
      </c>
      <c r="L24">
        <v>3.9760532716297092</v>
      </c>
      <c r="M24" s="5">
        <v>48.805325318401408</v>
      </c>
    </row>
    <row r="25" spans="1:13" x14ac:dyDescent="0.2">
      <c r="A25" s="1">
        <v>2016</v>
      </c>
      <c r="B25" s="2">
        <v>6611838543.9366198</v>
      </c>
      <c r="C25" s="2">
        <v>24524109483.529301</v>
      </c>
      <c r="D25" s="2">
        <v>-341748</v>
      </c>
      <c r="E25" s="2">
        <v>8.790343</v>
      </c>
      <c r="F25" s="2">
        <v>107.78</v>
      </c>
      <c r="G25">
        <v>-105996375.5906588</v>
      </c>
      <c r="H25">
        <v>42.115486122164583</v>
      </c>
      <c r="I25">
        <v>17.363536337378463</v>
      </c>
      <c r="J25">
        <v>7039699994.5022116</v>
      </c>
      <c r="K25">
        <v>7565879</v>
      </c>
      <c r="L25">
        <v>0.43311371938152377</v>
      </c>
      <c r="M25" s="5">
        <v>43.242522899805522</v>
      </c>
    </row>
    <row r="26" spans="1:13" x14ac:dyDescent="0.2">
      <c r="A26" s="1">
        <v>2017</v>
      </c>
      <c r="B26" s="2">
        <v>6928133767.0880404</v>
      </c>
      <c r="C26" s="2">
        <v>28971588940.363998</v>
      </c>
      <c r="D26" s="2">
        <v>-368787</v>
      </c>
      <c r="E26" s="2">
        <v>2.77704</v>
      </c>
      <c r="F26" s="2">
        <v>104.5</v>
      </c>
      <c r="G26">
        <v>-196265098.56357461</v>
      </c>
      <c r="H26">
        <v>44.642410621742734</v>
      </c>
      <c r="I26">
        <v>11.9678651564038</v>
      </c>
      <c r="J26">
        <v>8858189750.1876926</v>
      </c>
      <c r="K26">
        <v>7596203</v>
      </c>
      <c r="L26">
        <v>8.9772793564346642</v>
      </c>
      <c r="M26" s="5">
        <v>50.907597198695029</v>
      </c>
    </row>
    <row r="27" spans="1:13" x14ac:dyDescent="0.2">
      <c r="A27" s="1">
        <v>2018</v>
      </c>
      <c r="B27" s="2">
        <v>8286629516.1520996</v>
      </c>
      <c r="C27" s="2">
        <v>33111525237.148998</v>
      </c>
      <c r="D27" s="2">
        <v>-295151</v>
      </c>
      <c r="E27" s="2">
        <v>4.4065943000000001</v>
      </c>
      <c r="F27" s="2">
        <v>109.71</v>
      </c>
      <c r="G27">
        <v>-68261793.94399865</v>
      </c>
      <c r="H27">
        <v>48.447386946377755</v>
      </c>
      <c r="I27">
        <v>19.755497712029488</v>
      </c>
      <c r="J27">
        <v>10739021257.623692</v>
      </c>
      <c r="K27">
        <v>7630668</v>
      </c>
      <c r="L27">
        <v>7.6223761039793345</v>
      </c>
      <c r="M27" s="5">
        <v>64.815303540058977</v>
      </c>
    </row>
    <row r="28" spans="1:13" x14ac:dyDescent="0.2">
      <c r="A28" s="1">
        <v>2019</v>
      </c>
      <c r="B28" s="2">
        <v>8244465869.48491</v>
      </c>
      <c r="C28" s="2">
        <v>34186180699.025501</v>
      </c>
      <c r="D28" s="2">
        <v>182203</v>
      </c>
      <c r="E28" s="2">
        <v>5.56616</v>
      </c>
      <c r="F28" s="2">
        <v>112.94</v>
      </c>
      <c r="G28">
        <v>-185563265.63442501</v>
      </c>
      <c r="H28">
        <v>49.249526586901162</v>
      </c>
      <c r="I28">
        <v>13.813433588746612</v>
      </c>
      <c r="J28">
        <v>11560099969.672173</v>
      </c>
      <c r="K28">
        <v>7802999</v>
      </c>
      <c r="L28">
        <v>6.6570554311046806</v>
      </c>
      <c r="M28" s="5">
        <v>56.936923285651538</v>
      </c>
    </row>
    <row r="29" spans="1:13" x14ac:dyDescent="0.2">
      <c r="A29" s="1">
        <v>2020</v>
      </c>
      <c r="B29" s="2">
        <v>8107744661.5632</v>
      </c>
      <c r="C29" s="2">
        <v>33433659301.246601</v>
      </c>
      <c r="D29" s="2">
        <v>162139</v>
      </c>
      <c r="E29" s="2">
        <v>5.0563583000000003</v>
      </c>
      <c r="F29" s="2">
        <v>118.87</v>
      </c>
      <c r="G29">
        <v>-126626337.4603022</v>
      </c>
      <c r="H29">
        <v>40.918874124844415</v>
      </c>
      <c r="I29">
        <v>22.113914393273575</v>
      </c>
      <c r="J29">
        <v>10186975380.72891</v>
      </c>
      <c r="K29">
        <v>7977675</v>
      </c>
      <c r="L29">
        <v>-2.3696206292072048</v>
      </c>
      <c r="M29" s="5">
        <v>39.355434923771881</v>
      </c>
    </row>
    <row r="30" spans="1:13" x14ac:dyDescent="0.2">
      <c r="A30" s="1">
        <v>2021</v>
      </c>
      <c r="B30" s="2">
        <v>8225960574.66119</v>
      </c>
      <c r="C30" s="2">
        <v>36924841394.260498</v>
      </c>
      <c r="D30" s="2">
        <v>130001</v>
      </c>
      <c r="E30" s="2">
        <v>4.1267676</v>
      </c>
      <c r="F30" s="2">
        <v>118.57</v>
      </c>
      <c r="G30">
        <v>-196326024.03482971</v>
      </c>
      <c r="H30">
        <v>43.053804791221935</v>
      </c>
      <c r="I30">
        <v>14.691631610879414</v>
      </c>
      <c r="J30">
        <v>10832212192.147514</v>
      </c>
      <c r="K30">
        <v>8226953</v>
      </c>
      <c r="L30">
        <v>4.8381496141149967</v>
      </c>
      <c r="M30" s="5">
        <v>67.95707452631909</v>
      </c>
    </row>
    <row r="31" spans="1:13" x14ac:dyDescent="0.2">
      <c r="A31" s="1">
        <v>2022</v>
      </c>
      <c r="B31" s="2">
        <v>9411659366.2094898</v>
      </c>
      <c r="C31" s="2">
        <v>41182939600.620903</v>
      </c>
      <c r="D31" s="2">
        <v>-379321</v>
      </c>
      <c r="E31" s="2">
        <v>7.6702056000000001</v>
      </c>
      <c r="F31" s="2">
        <v>126.04</v>
      </c>
      <c r="G31">
        <v>-66059660.947571062</v>
      </c>
      <c r="H31">
        <v>48.973401480020144</v>
      </c>
      <c r="I31">
        <v>7.6428844714537414</v>
      </c>
      <c r="J31">
        <v>11934846756.471275</v>
      </c>
      <c r="K31">
        <v>8325856</v>
      </c>
      <c r="L31">
        <v>5.6313145568450977</v>
      </c>
      <c r="M31" s="5">
        <v>94.801181363322684</v>
      </c>
    </row>
    <row r="32" spans="1:13" x14ac:dyDescent="0.2">
      <c r="A32" s="1">
        <v>2023</v>
      </c>
      <c r="B32" s="2">
        <v>10764412527.586599</v>
      </c>
      <c r="C32" s="2">
        <v>41047772331.099403</v>
      </c>
      <c r="D32" s="2">
        <v>-409782</v>
      </c>
      <c r="E32" s="2">
        <v>7.1158723999999998</v>
      </c>
      <c r="F32" s="2">
        <v>132.44</v>
      </c>
      <c r="G32">
        <v>-74821496.03707698</v>
      </c>
      <c r="H32">
        <v>41.570150293246741</v>
      </c>
      <c r="I32">
        <v>14.559901996681084</v>
      </c>
      <c r="J32">
        <v>10094178173.750822</v>
      </c>
      <c r="K32">
        <v>8335831</v>
      </c>
      <c r="L32">
        <v>1.9825484346184936</v>
      </c>
      <c r="M32" s="5">
        <v>77.598184829663097</v>
      </c>
    </row>
    <row r="33" spans="1:13" x14ac:dyDescent="0.2">
      <c r="A33" s="1">
        <v>2024</v>
      </c>
      <c r="B33" s="2">
        <v>11254463372.2778</v>
      </c>
      <c r="C33" s="2">
        <v>42914268286.710899</v>
      </c>
      <c r="D33" s="2">
        <v>-401282</v>
      </c>
      <c r="E33" s="2">
        <v>4.6850966999999999</v>
      </c>
      <c r="F33" s="2">
        <v>134.16999999999999</v>
      </c>
      <c r="G33">
        <v>-56900207.064841673</v>
      </c>
      <c r="H33">
        <v>40.170010162685344</v>
      </c>
      <c r="I33">
        <v>11.224372605944927</v>
      </c>
      <c r="J33">
        <v>10612794958.065624</v>
      </c>
      <c r="K33">
        <v>8342811</v>
      </c>
      <c r="L33">
        <v>3.6778745969770341</v>
      </c>
      <c r="M33" s="5">
        <v>76.609899029110977</v>
      </c>
    </row>
    <row r="34" spans="1:13" x14ac:dyDescent="0.2">
      <c r="A34" s="1">
        <v>2025</v>
      </c>
      <c r="B34" s="3">
        <v>189110000000</v>
      </c>
      <c r="C34" s="3">
        <v>45844000000</v>
      </c>
      <c r="D34" s="2">
        <v>-364699</v>
      </c>
      <c r="E34" s="2">
        <v>4.0599999999999996</v>
      </c>
      <c r="F34" s="2">
        <v>139.37</v>
      </c>
      <c r="G34">
        <f>AVERAGE(G5:G33)</f>
        <v>-56067775.213108085</v>
      </c>
      <c r="H34">
        <v>42.552044842836921</v>
      </c>
      <c r="I34">
        <v>12.933089894523009</v>
      </c>
      <c r="J34">
        <v>10722938111.094023</v>
      </c>
      <c r="K34">
        <v>8362760</v>
      </c>
      <c r="L34">
        <v>4.4307319498335858</v>
      </c>
      <c r="M34" s="5">
        <v>65.493941040843225</v>
      </c>
    </row>
    <row r="35" spans="1:13" x14ac:dyDescent="0.2">
      <c r="M3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9E6A-DF71-B945-A972-18704585AD03}">
  <dimension ref="A1:AF1"/>
  <sheetViews>
    <sheetView workbookViewId="0">
      <selection sqref="A1:AM1"/>
    </sheetView>
  </sheetViews>
  <sheetFormatPr baseColWidth="10" defaultRowHeight="16" x14ac:dyDescent="0.2"/>
  <sheetData>
    <row r="1" spans="1:32" x14ac:dyDescent="0.2">
      <c r="A1" s="4">
        <v>8.2160026930000001</v>
      </c>
      <c r="B1" s="4">
        <v>3.4684518930000001</v>
      </c>
      <c r="C1" s="4">
        <v>5.3282841750000003</v>
      </c>
      <c r="D1" s="4">
        <v>5.0486125450000001</v>
      </c>
      <c r="E1" s="4">
        <v>3.016389475</v>
      </c>
      <c r="F1" s="4">
        <v>4.4125732800000002</v>
      </c>
      <c r="G1" s="4">
        <v>6.1999999819999996</v>
      </c>
      <c r="H1" s="4">
        <v>4.7998921430000001</v>
      </c>
      <c r="I1" s="4">
        <v>0.120143177</v>
      </c>
      <c r="J1" s="4">
        <v>3.945037761</v>
      </c>
      <c r="K1" s="4">
        <v>4.6826032519999998</v>
      </c>
      <c r="L1" s="4">
        <v>3.4791810480000001</v>
      </c>
      <c r="M1" s="4">
        <v>3.3646147810000002</v>
      </c>
      <c r="N1" s="4">
        <v>3.4115602799999998</v>
      </c>
      <c r="O1" s="4">
        <v>6.1046391440000001</v>
      </c>
      <c r="P1" s="4">
        <v>4.5330787250000002</v>
      </c>
      <c r="Q1" s="4">
        <v>4.8164146470000002</v>
      </c>
      <c r="R1" s="4">
        <v>3.4218087009999998</v>
      </c>
      <c r="S1" s="4">
        <v>4.6701419240000002</v>
      </c>
      <c r="T1" s="4">
        <v>3.5251531709999999</v>
      </c>
      <c r="U1" s="4">
        <v>6.0114828429999996</v>
      </c>
      <c r="V1" s="4">
        <v>3.9760532720000001</v>
      </c>
      <c r="W1" s="4">
        <v>0.43311371900000001</v>
      </c>
      <c r="X1" s="4">
        <v>8.9772793560000004</v>
      </c>
      <c r="Y1" s="4">
        <v>7.6223761039999998</v>
      </c>
      <c r="Z1" s="4">
        <v>6.6570554309999999</v>
      </c>
      <c r="AA1" s="4">
        <v>-2.36962063</v>
      </c>
      <c r="AB1" s="4">
        <v>4.8381496139999998</v>
      </c>
      <c r="AC1" s="4">
        <v>5.6313145569999996</v>
      </c>
      <c r="AD1" s="4">
        <v>1.982548435</v>
      </c>
      <c r="AE1" s="4">
        <v>3.6778745970000002</v>
      </c>
      <c r="AF1" s="4">
        <v>4.4307319500000002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dklknchn64@gmail.com</dc:creator>
  <cp:lastModifiedBy>dklknchn64@gmail.com</cp:lastModifiedBy>
  <dcterms:created xsi:type="dcterms:W3CDTF">2026-07-28T14:53:57Z</dcterms:created>
  <dcterms:modified xsi:type="dcterms:W3CDTF">2026-07-28T15:54:25Z</dcterms:modified>
</cp:coreProperties>
</file>